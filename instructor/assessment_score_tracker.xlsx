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531c389824d4b" />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arner Scores" sheetId="1" r:id="Rd487fdf1c4b841bb"/>
    <sheet name="Course Compliance" sheetId="2" r:id="R7669a2b91e0e43c8"/>
  </sheets>
  <calcPr iterateCount="100" refMode="A1" iterate="false" iterateDelta="0.001"/>
  <extLst>
    <ext uri="{7626C862-2A13-11E5-B345-FEFF819CDC9F}">
      <ns2:extCalcPr stringRefSyntax="ExcelA1"/>
    </ext>
  </extLst>
</workbook>
</file>

<file path=xl/sharedStrings.xml><?xml version="1.0" encoding="utf-8"?>
<x:sst xmlns:x="http://schemas.openxmlformats.org/spreadsheetml/2006/main">
  <x:si>
    <x:t xml:space="preserve">Curriculum Assessment Tracker</x:t>
  </x:si>
  <x:si>
    <x:t xml:space="preserve">Learner name</x:t>
  </x:si>
  <x:si>
    <x:t xml:space="preserve">Lab 1 raw /15</x:t>
  </x:si>
  <x:si>
    <x:t xml:space="preserve">Lab 1 /20</x:t>
  </x:si>
  <x:si>
    <x:t xml:space="preserve">Lab 2 raw /15</x:t>
  </x:si>
  <x:si>
    <x:t xml:space="preserve">Lab 2 /20</x:t>
  </x:si>
  <x:si>
    <x:t xml:space="preserve">Lab 3 raw /15</x:t>
  </x:si>
  <x:si>
    <x:t xml:space="preserve">Lab 3 /20</x:t>
  </x:si>
  <x:si>
    <x:t xml:space="preserve">Capstone code /20</x:t>
  </x:si>
  <x:si>
    <x:t xml:space="preserve">ADR &amp; defense /20</x:t>
  </x:si>
  <x:si>
    <x:t xml:space="preserve">Total /100</x:t>
  </x:si>
  <x:si>
    <x:t xml:space="preserve">Grade</x:t>
  </x:si>
  <x:si>
    <x:t xml:space="preserve">Course Readiness &amp; Evidence</x:t>
  </x:si>
  <x:si>
    <x:t xml:space="preserve">Check</x:t>
  </x:si>
  <x:si>
    <x:t xml:space="preserve">Evidence / completion rule</x:t>
  </x:si>
  <x:si>
    <x:t xml:space="preserve">Status</x:t>
  </x:si>
  <x:si>
    <x:t xml:space="preserve">Date</x:t>
  </x:si>
  <x:si>
    <x:t xml:space="preserve">Notes</x:t>
  </x:si>
  <x:si>
    <x:t xml:space="preserve">Canonical notebook execution</x:t>
  </x:si>
  <x:si>
    <x:t xml:space="preserve">Preflight, three labs, and deterministic Capstone execute from local sample data.</x:t>
  </x:si>
  <x:si>
    <x:t xml:space="preserve">Verified</x:t>
  </x:si>
  <x:si>
    <x:t xml:space="preserve">2026-10-06</x:t>
  </x:si>
  <x:si>
    <x:t xml:space="preserve">All five Golden Path notebooks passed code-cell execution in the clean Python 3.12.3 environment; no provider calls.</x:t>
  </x:si>
  <x:si>
    <x:t xml:space="preserve">Notebook output clearing</x:t>
  </x:si>
  <x:si>
    <x:t xml:space="preserve">Distributed manifest notebooks have empty code outputs and null execution counts.</x:t>
  </x:si>
  <x:si>
    <x:t xml:space="preserve">Ran jupyter nbconvert --clear-output --inplace over all 19 tracked notebooks: 5 Golden Path, 4 optional extensions, 10 archived. All outputs are empty and execution counts null.</x:t>
  </x:si>
  <x:si>
    <x:t xml:space="preserve">Three lab grader sabotage runs</x:t>
  </x:si>
  <x:si>
    <x:t xml:space="preserve">Each grader distinguishes broken, partial, and corrected work.</x:t>
  </x:si>
  <x:si>
    <x:t xml:space="preserve">Lab 1: 0/5/15; Lab 2: 0/5/15; Lab 3: 0/7/8/15. Repaired variants reach 15/15.</x:t>
  </x:si>
  <x:si>
    <x:t xml:space="preserve">Automatic Dev-to-Security transition</x:t>
  </x:si>
  <x:si>
    <x:t xml:space="preserve">Validated DevDeliverable starts Security Team and yields a typed audit result.</x:t>
  </x:si>
  <x:si>
    <x:t xml:space="preserve">Pytest automatic-trigger test passed. A mocked CrewAI kickoff also verified Development then Security sequence and JSON input from validated DevDeliverable; no model provider call.</x:t>
  </x:si>
  <x:si>
    <x:t xml:space="preserve">Grade conversion and total</x:t>
  </x:si>
  <x:si>
    <x:t xml:space="preserve">Three raw /15 lab scores scale to /20 each; Capstone code and ADR score /20 each.</x:t>
  </x:si>
  <x:si>
    <x:t xml:space="preserve">Three lab scores scale from /15 to /20; Capstone code and ADR each contribute /20. Maximum-score copy recalculated to 100/A with no formula errors.</x:t>
  </x:si>
  <x:si>
    <x:t xml:space="preserve">Academic theory references</x:t>
  </x:si>
  <x:si>
    <x:t xml:space="preserve">Theory of Mind, TeamLog, TRINITY, Conductor, ChatDev, Reflexion, and Fugu-style concepts appear as theory.</x:t>
  </x:si>
  <x:si>
    <x:t xml:space="preserve">NIST AC-5, AC-6, and SI-10 mappings and CISA/NCSC secure-AI lifecycle guidance are linked. Cost-aware routing is described as a rule-based, pre-written example; no learned-router claim.</x:t>
  </x:si>
  <x:si>
    <x:t xml:space="preserve">Cross-organization A2A scope</x:t>
  </x:si>
  <x:si>
    <x:t xml:space="preserve">Advanced perimeter notebook is archived and absent from core learner sequence.</x:t>
  </x:si>
  <x:si>
    <x:t xml:space="preserve">Advanced perimeter notebook is archived and absent from the Golden Path. Core Capstone handoff is Development Team to Security Team inside one workflow.</x:t>
  </x:si>
  <x:si>
    <x:t xml:space="preserve">Paper ADR fallback</x:t>
  </x:si>
  <x:si>
    <x:t xml:space="preserve">One-page ADR covers handoff, team permissions, risk, evidence, and next step.</x:t>
  </x:si>
  <x:si>
    <x:t xml:space="preserve">One-page quick sheet documents the three questions and 6/7/7 rubric. Instructor rehearsal remains pending.</x:t>
  </x:si>
  <x:si>
    <x:t xml:space="preserve">Live provider demo</x:t>
  </x:si>
  <x:si>
    <x:t xml:space="preserve">Optional live model/provider setup has been separately rehearsed.</x:t>
  </x:si>
  <x:si>
    <x:t xml:space="preserve">Not Tested</x:t>
  </x:si>
  <x:si>
    <x:t xml:space="preserve">No API key or live provider call used in required-path verification.</x:t>
  </x:si>
  <x:si>
    <x:t xml:space="preserve">Instructor rehearsal</x:t>
  </x:si>
  <x:si>
    <x:t xml:space="preserve">Run the two-day schedule and rehearse the Capstone defense/Paper ADR briefing.</x:t>
  </x:si>
  <x:si>
    <x:t xml:space="preserve">Pending</x:t>
  </x:si>
  <x:si>
    <x:t xml:space="preserve">Automated assets are aligned; live two-day classroom rehearsal remains.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</x:si>
</x:sst>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"/>
  </x:numFmts>
  <x:fonts count="1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1"/>
      <x:color rgb="FFFFFFFF"/>
      <x:name val="Calibri"/>
    </x:font>
    <x:font>
      <x:sz val="10"/>
      <x:color rgb="FF1F2937"/>
      <x:name val="Arial"/>
    </x:font>
    <x:font>
      <x:sz val="11"/>
      <x:name val="Calibri"/>
    </x:font>
    <x:font>
      <x:i/>
      <x:sz val="9"/>
      <x:color rgb="FF59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FFF2CC"/>
      </x:patternFill>
    </x:fill>
    <x:fill>
      <x:patternFill patternType="solid">
        <x:fgColor rgb="FFEEF2F5"/>
      </x:patternFill>
    </x:fill>
  </x:fills>
  <x:borders count="3">
    <x:border diagonalUp="0" diagonalDown="0"/>
    <x:border diagonalUp="0" diagonalDown="0">
      <x:bottom style="thin">
        <x:color rgb="FFD9E1EA"/>
      </x:bottom>
    </x:border>
    <x:border diagonalUp="0" diagonalDown="0"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1" applyAlignment="1">
      <x:alignment horizontal="general" vertical="center" wrapText="0"/>
    </x:xf>
    <x:xf numFmtId="164" fontId="5" fillId="2" borderId="1" xfId="0" applyFont="1" applyBorder="1" applyAlignment="1">
      <x:alignment horizontal="center" vertical="center" wrapText="1"/>
    </x:xf>
    <x:xf numFmtId="164" fontId="6" fillId="2" borderId="0" xfId="0" applyFont="1" applyBorder="0" applyAlignment="1">
      <x:alignment horizontal="center" vertical="center" wrapText="1"/>
    </x:xf>
    <x:xf numFmtId="164" fontId="7" fillId="3" borderId="2" xfId="0" applyFont="1" applyBorder="1" applyAlignment="1">
      <x:alignment horizontal="general" vertical="center" wrapText="0"/>
    </x:xf>
    <x:xf numFmtId="164" fontId="7" fillId="3" borderId="2" xfId="0" applyFont="1" applyBorder="1" applyAlignment="1">
      <x:alignment horizontal="center" vertical="center" wrapText="0"/>
    </x:xf>
    <x:xf numFmtId="165" fontId="7" fillId="4" borderId="2" xfId="0" applyFont="1" applyBorder="1" applyAlignment="1">
      <x:alignment horizontal="center" vertical="center" wrapText="0"/>
    </x:xf>
    <x:xf numFmtId="165" fontId="8" fillId="4" borderId="2" xfId="0" applyFont="1" applyBorder="1" applyAlignment="1">
      <x:alignment horizontal="center" vertical="center" wrapText="0"/>
    </x:xf>
    <x:xf numFmtId="164" fontId="8" fillId="4" borderId="2" xfId="0" applyFont="1" applyBorder="1" applyAlignment="1">
      <x:alignment horizontal="center" vertical="center" wrapText="0"/>
    </x:xf>
    <x:xf numFmtId="164" fontId="9" fillId="0" borderId="0" xfId="0" applyFont="1" applyBorder="1" applyAlignment="1">
      <x:alignment horizontal="general" vertical="bottom" wrapText="0"/>
    </x:xf>
    <x:xf numFmtId="164" fontId="5" fillId="2" borderId="2" xfId="0" applyFont="1" applyBorder="1" applyAlignment="1">
      <x:alignment horizontal="center" vertical="center" wrapText="1"/>
    </x:xf>
    <x:xf numFmtId="164" fontId="7" fillId="0" borderId="2" xfId="0" applyFont="1" applyBorder="1" applyAlignment="1">
      <x:alignment horizontal="general" vertical="center" wrapText="1"/>
    </x:xf>
    <x:xf numFmtId="164" fontId="7" fillId="0" borderId="2" xfId="0" applyFont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2CC"/>
      <x:rgbColor rgb="FFEEF2F5"/>
      <x:rgbColor rgb="FF660066"/>
      <x:rgbColor rgb="FFFF8080"/>
      <x:rgbColor rgb="FF0066CC"/>
      <x:rgbColor rgb="FFD9E1EA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E8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6579"/>
      <x:rgbColor rgb="FF969696"/>
      <x:rgbColor rgb="FF17365D"/>
      <x:rgbColor rgb="FF339966"/>
      <x:rgbColor rgb="FF003300"/>
      <x:rgbColor rgb="FF333300"/>
      <x:rgbColor rgb="FF993300"/>
      <x:rgbColor rgb="FF993366"/>
      <x:rgbColor rgb="FF183B5B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d1d9b4bcb45cb" /><Relationship Type="http://schemas.openxmlformats.org/officeDocument/2006/relationships/theme" Target="/xl/theme/theme1.xml" Id="Rb41248dcd10f470a" /><Relationship Type="http://schemas.openxmlformats.org/officeDocument/2006/relationships/sharedStrings" Target="/xl/sharedStrings.xml" Id="Ra36e558754b24ca4" /><Relationship Type="http://schemas.openxmlformats.org/officeDocument/2006/relationships/worksheet" Target="/xl/worksheets/sheet1.xml" Id="Rd487fdf1c4b841bb" /><Relationship Type="http://schemas.openxmlformats.org/officeDocument/2006/relationships/worksheet" Target="/xl/worksheets/sheet2.xml" Id="R7669a2b91e0e43c8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</sheetPr>
  <sheetViews>
    <sheetView showGridLines="0" workbookViewId="0">
      <pane ySplit="3" topLeftCell="A4" activePane="bottomLeft" state="frozen"/>
    </sheetView>
  </sheetViews>
  <sheetFormatPr defaultColWidth="8.6796875" defaultRowHeight="15"/>
  <cols>
    <col min="1" max="1" width="24" style="1" hidden="0" customWidth="1"/>
    <col min="2" max="7" width="13" style="1" hidden="0" customWidth="1"/>
    <col min="8" max="9" width="17" style="1" hidden="0" customWidth="1"/>
    <col min="10" max="10" width="14" style="1" hidden="0" customWidth="1"/>
    <col min="11" max="11" width="10" style="1" hidden="0" customWidth="1"/>
  </cols>
  <sheetData>
    <row r="2" ht="25.5" hidden="0" customHeight="1">
      <c r="A2" s="2" t="s">
        <v>0</v>
      </c>
      <c r="B2" s="2"/>
      <c r="C2" s="2"/>
      <c r="D2" s="2"/>
      <c r="E2" s="2"/>
      <c r="F2" s="2"/>
      <c r="G2" s="2"/>
      <c r="H2" s="2"/>
      <c r="I2" s="2"/>
    </row>
    <row r="3" ht="33.75" hidden="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</row>
    <row r="4" ht="21" hidden="0" customHeight="1">
      <c r="A4" s="5"/>
      <c r="B4" s="6"/>
      <c r="C4" s="7" t="str">
        <f aca="0">IF(ISNUMBER(B4),B4*20/15,"")</f>
      </c>
      <c r="D4" s="6"/>
      <c r="E4" s="7" t="str">
        <f aca="0">IF(ISNUMBER(D4),D4*20/15,"")</f>
      </c>
      <c r="F4" s="6"/>
      <c r="G4" s="7" t="str">
        <f aca="0">IF(ISNUMBER(F4),F4*20/15,"")</f>
      </c>
      <c r="H4" s="6"/>
      <c r="I4" s="6"/>
      <c r="J4" s="8" t="str">
        <f aca="0">IF(A4="","",IF(COUNT(C4,E4,G4,H4,I4)&lt;5,"",SUM(C4,E4,G4,H4,I4)))</f>
      </c>
      <c r="K4" s="9" t="str">
        <f aca="0">IF(ISNUMBER(J4),IF(J4&gt;=80,"A",IF(J4&gt;=65,"B",IF(J4&gt;=50,"C","F"))),"")</f>
      </c>
    </row>
    <row r="5" ht="21" hidden="0" customHeight="1">
      <c r="A5" s="5"/>
      <c r="B5" s="6"/>
      <c r="C5" s="7" t="str">
        <f aca="0">IF(ISNUMBER(B5),B5*20/15,"")</f>
      </c>
      <c r="D5" s="6"/>
      <c r="E5" s="7" t="str">
        <f aca="0">IF(ISNUMBER(D5),D5*20/15,"")</f>
      </c>
      <c r="F5" s="6"/>
      <c r="G5" s="7" t="str">
        <f aca="0">IF(ISNUMBER(F5),F5*20/15,"")</f>
      </c>
      <c r="H5" s="6"/>
      <c r="I5" s="6"/>
      <c r="J5" s="8" t="str">
        <f aca="0">IF(A5="","",IF(COUNT(C5,E5,G5,H5,I5)&lt;5,"",SUM(C5,E5,G5,H5,I5)))</f>
      </c>
      <c r="K5" s="9" t="str">
        <f aca="0">IF(ISNUMBER(J5),IF(J5&gt;=80,"A",IF(J5&gt;=65,"B",IF(J5&gt;=50,"C","F"))),"")</f>
      </c>
    </row>
    <row r="6" ht="21" hidden="0" customHeight="1">
      <c r="A6" s="5"/>
      <c r="B6" s="6"/>
      <c r="C6" s="7" t="str">
        <f aca="0">IF(ISNUMBER(B6),B6*20/15,"")</f>
      </c>
      <c r="D6" s="6"/>
      <c r="E6" s="7" t="str">
        <f aca="0">IF(ISNUMBER(D6),D6*20/15,"")</f>
      </c>
      <c r="F6" s="6"/>
      <c r="G6" s="7" t="str">
        <f aca="0">IF(ISNUMBER(F6),F6*20/15,"")</f>
      </c>
      <c r="H6" s="6"/>
      <c r="I6" s="6"/>
      <c r="J6" s="8" t="str">
        <f aca="0">IF(A6="","",IF(COUNT(C6,E6,G6,H6,I6)&lt;5,"",SUM(C6,E6,G6,H6,I6)))</f>
      </c>
      <c r="K6" s="9" t="str">
        <f aca="0">IF(ISNUMBER(J6),IF(J6&gt;=80,"A",IF(J6&gt;=65,"B",IF(J6&gt;=50,"C","F"))),"")</f>
      </c>
    </row>
    <row r="7" ht="21" hidden="0" customHeight="1">
      <c r="A7" s="5"/>
      <c r="B7" s="6"/>
      <c r="C7" s="7" t="str">
        <f aca="0">IF(ISNUMBER(B7),B7*20/15,"")</f>
      </c>
      <c r="D7" s="6"/>
      <c r="E7" s="7" t="str">
        <f aca="0">IF(ISNUMBER(D7),D7*20/15,"")</f>
      </c>
      <c r="F7" s="6"/>
      <c r="G7" s="7" t="str">
        <f aca="0">IF(ISNUMBER(F7),F7*20/15,"")</f>
      </c>
      <c r="H7" s="6"/>
      <c r="I7" s="6"/>
      <c r="J7" s="8" t="str">
        <f aca="0">IF(A7="","",IF(COUNT(C7,E7,G7,H7,I7)&lt;5,"",SUM(C7,E7,G7,H7,I7)))</f>
      </c>
      <c r="K7" s="9" t="str">
        <f aca="0">IF(ISNUMBER(J7),IF(J7&gt;=80,"A",IF(J7&gt;=65,"B",IF(J7&gt;=50,"C","F"))),"")</f>
      </c>
    </row>
    <row r="8" ht="21" hidden="0" customHeight="1">
      <c r="A8" s="5"/>
      <c r="B8" s="6"/>
      <c r="C8" s="7" t="str">
        <f aca="0">IF(ISNUMBER(B8),B8*20/15,"")</f>
      </c>
      <c r="D8" s="6"/>
      <c r="E8" s="7" t="str">
        <f aca="0">IF(ISNUMBER(D8),D8*20/15,"")</f>
      </c>
      <c r="F8" s="6"/>
      <c r="G8" s="7" t="str">
        <f aca="0">IF(ISNUMBER(F8),F8*20/15,"")</f>
      </c>
      <c r="H8" s="6"/>
      <c r="I8" s="6"/>
      <c r="J8" s="8" t="str">
        <f aca="0">IF(A8="","",IF(COUNT(C8,E8,G8,H8,I8)&lt;5,"",SUM(C8,E8,G8,H8,I8)))</f>
      </c>
      <c r="K8" s="9" t="str">
        <f aca="0">IF(ISNUMBER(J8),IF(J8&gt;=80,"A",IF(J8&gt;=65,"B",IF(J8&gt;=50,"C","F"))),"")</f>
      </c>
    </row>
    <row r="9" ht="21" hidden="0" customHeight="1">
      <c r="A9" s="5"/>
      <c r="B9" s="6"/>
      <c r="C9" s="7" t="str">
        <f aca="0">IF(ISNUMBER(B9),B9*20/15,"")</f>
      </c>
      <c r="D9" s="6"/>
      <c r="E9" s="7" t="str">
        <f aca="0">IF(ISNUMBER(D9),D9*20/15,"")</f>
      </c>
      <c r="F9" s="6"/>
      <c r="G9" s="7" t="str">
        <f aca="0">IF(ISNUMBER(F9),F9*20/15,"")</f>
      </c>
      <c r="H9" s="6"/>
      <c r="I9" s="6"/>
      <c r="J9" s="8" t="str">
        <f aca="0">IF(A9="","",IF(COUNT(C9,E9,G9,H9,I9)&lt;5,"",SUM(C9,E9,G9,H9,I9)))</f>
      </c>
      <c r="K9" s="9" t="str">
        <f aca="0">IF(ISNUMBER(J9),IF(J9&gt;=80,"A",IF(J9&gt;=65,"B",IF(J9&gt;=50,"C","F"))),"")</f>
      </c>
    </row>
    <row r="10" ht="21" hidden="0" customHeight="1">
      <c r="A10" s="5"/>
      <c r="B10" s="6"/>
      <c r="C10" s="7" t="str">
        <f aca="0">IF(ISNUMBER(B10),B10*20/15,"")</f>
      </c>
      <c r="D10" s="6"/>
      <c r="E10" s="7" t="str">
        <f aca="0">IF(ISNUMBER(D10),D10*20/15,"")</f>
      </c>
      <c r="F10" s="6"/>
      <c r="G10" s="7" t="str">
        <f aca="0">IF(ISNUMBER(F10),F10*20/15,"")</f>
      </c>
      <c r="H10" s="6"/>
      <c r="I10" s="6"/>
      <c r="J10" s="8" t="str">
        <f aca="0">IF(A10="","",IF(COUNT(C10,E10,G10,H10,I10)&lt;5,"",SUM(C10,E10,G10,H10,I10)))</f>
      </c>
      <c r="K10" s="9" t="str">
        <f aca="0">IF(ISNUMBER(J10),IF(J10&gt;=80,"A",IF(J10&gt;=65,"B",IF(J10&gt;=50,"C","F"))),"")</f>
      </c>
    </row>
    <row r="11" ht="21" hidden="0" customHeight="1">
      <c r="A11" s="5"/>
      <c r="B11" s="6"/>
      <c r="C11" s="7" t="str">
        <f aca="0">IF(ISNUMBER(B11),B11*20/15,"")</f>
      </c>
      <c r="D11" s="6"/>
      <c r="E11" s="7" t="str">
        <f aca="0">IF(ISNUMBER(D11),D11*20/15,"")</f>
      </c>
      <c r="F11" s="6"/>
      <c r="G11" s="7" t="str">
        <f aca="0">IF(ISNUMBER(F11),F11*20/15,"")</f>
      </c>
      <c r="H11" s="6"/>
      <c r="I11" s="6"/>
      <c r="J11" s="8" t="str">
        <f aca="0">IF(A11="","",IF(COUNT(C11,E11,G11,H11,I11)&lt;5,"",SUM(C11,E11,G11,H11,I11)))</f>
      </c>
      <c r="K11" s="9" t="str">
        <f aca="0">IF(ISNUMBER(J11),IF(J11&gt;=80,"A",IF(J11&gt;=65,"B",IF(J11&gt;=50,"C","F"))),"")</f>
      </c>
    </row>
    <row r="12" ht="21" hidden="0" customHeight="1">
      <c r="A12" s="5"/>
      <c r="B12" s="6"/>
      <c r="C12" s="7" t="str">
        <f aca="0">IF(ISNUMBER(B12),B12*20/15,"")</f>
      </c>
      <c r="D12" s="6"/>
      <c r="E12" s="7" t="str">
        <f aca="0">IF(ISNUMBER(D12),D12*20/15,"")</f>
      </c>
      <c r="F12" s="6"/>
      <c r="G12" s="7" t="str">
        <f aca="0">IF(ISNUMBER(F12),F12*20/15,"")</f>
      </c>
      <c r="H12" s="6"/>
      <c r="I12" s="6"/>
      <c r="J12" s="8" t="str">
        <f aca="0">IF(A12="","",IF(COUNT(C12,E12,G12,H12,I12)&lt;5,"",SUM(C12,E12,G12,H12,I12)))</f>
      </c>
      <c r="K12" s="9" t="str">
        <f aca="0">IF(ISNUMBER(J12),IF(J12&gt;=80,"A",IF(J12&gt;=65,"B",IF(J12&gt;=50,"C","F"))),"")</f>
      </c>
    </row>
    <row r="13" ht="21" hidden="0" customHeight="1">
      <c r="A13" s="5"/>
      <c r="B13" s="6"/>
      <c r="C13" s="7" t="str">
        <f aca="0">IF(ISNUMBER(B13),B13*20/15,"")</f>
      </c>
      <c r="D13" s="6"/>
      <c r="E13" s="7" t="str">
        <f aca="0">IF(ISNUMBER(D13),D13*20/15,"")</f>
      </c>
      <c r="F13" s="6"/>
      <c r="G13" s="7" t="str">
        <f aca="0">IF(ISNUMBER(F13),F13*20/15,"")</f>
      </c>
      <c r="H13" s="6"/>
      <c r="I13" s="6"/>
      <c r="J13" s="8" t="str">
        <f aca="0">IF(A13="","",IF(COUNT(C13,E13,G13,H13,I13)&lt;5,"",SUM(C13,E13,G13,H13,I13)))</f>
      </c>
      <c r="K13" s="9" t="str">
        <f aca="0">IF(ISNUMBER(J13),IF(J13&gt;=80,"A",IF(J13&gt;=65,"B",IF(J13&gt;=50,"C","F"))),"")</f>
      </c>
    </row>
    <row r="14" ht="21" hidden="0" customHeight="1">
      <c r="A14" s="5"/>
      <c r="B14" s="6"/>
      <c r="C14" s="7" t="str">
        <f aca="0">IF(ISNUMBER(B14),B14*20/15,"")</f>
      </c>
      <c r="D14" s="6"/>
      <c r="E14" s="7" t="str">
        <f aca="0">IF(ISNUMBER(D14),D14*20/15,"")</f>
      </c>
      <c r="F14" s="6"/>
      <c r="G14" s="7" t="str">
        <f aca="0">IF(ISNUMBER(F14),F14*20/15,"")</f>
      </c>
      <c r="H14" s="6"/>
      <c r="I14" s="6"/>
      <c r="J14" s="8" t="str">
        <f aca="0">IF(A14="","",IF(COUNT(C14,E14,G14,H14,I14)&lt;5,"",SUM(C14,E14,G14,H14,I14)))</f>
      </c>
      <c r="K14" s="9" t="str">
        <f aca="0">IF(ISNUMBER(J14),IF(J14&gt;=80,"A",IF(J14&gt;=65,"B",IF(J14&gt;=50,"C","F"))),"")</f>
      </c>
    </row>
    <row r="15" ht="21" hidden="0" customHeight="1">
      <c r="A15" s="5"/>
      <c r="B15" s="6"/>
      <c r="C15" s="7" t="str">
        <f aca="0">IF(ISNUMBER(B15),B15*20/15,"")</f>
      </c>
      <c r="D15" s="6"/>
      <c r="E15" s="7" t="str">
        <f aca="0">IF(ISNUMBER(D15),D15*20/15,"")</f>
      </c>
      <c r="F15" s="6"/>
      <c r="G15" s="7" t="str">
        <f aca="0">IF(ISNUMBER(F15),F15*20/15,"")</f>
      </c>
      <c r="H15" s="6"/>
      <c r="I15" s="6"/>
      <c r="J15" s="8" t="str">
        <f aca="0">IF(A15="","",IF(COUNT(C15,E15,G15,H15,I15)&lt;5,"",SUM(C15,E15,G15,H15,I15)))</f>
      </c>
      <c r="K15" s="9" t="str">
        <f aca="0">IF(ISNUMBER(J15),IF(J15&gt;=80,"A",IF(J15&gt;=65,"B",IF(J15&gt;=50,"C","F"))),"")</f>
      </c>
    </row>
    <row r="16" ht="21" hidden="0" customHeight="1">
      <c r="A16" s="5"/>
      <c r="B16" s="6"/>
      <c r="C16" s="7" t="str">
        <f aca="0">IF(ISNUMBER(B16),B16*20/15,"")</f>
      </c>
      <c r="D16" s="6"/>
      <c r="E16" s="7" t="str">
        <f aca="0">IF(ISNUMBER(D16),D16*20/15,"")</f>
      </c>
      <c r="F16" s="6"/>
      <c r="G16" s="7" t="str">
        <f aca="0">IF(ISNUMBER(F16),F16*20/15,"")</f>
      </c>
      <c r="H16" s="6"/>
      <c r="I16" s="6"/>
      <c r="J16" s="8" t="str">
        <f aca="0">IF(A16="","",IF(COUNT(C16,E16,G16,H16,I16)&lt;5,"",SUM(C16,E16,G16,H16,I16)))</f>
      </c>
      <c r="K16" s="9" t="str">
        <f aca="0">IF(ISNUMBER(J16),IF(J16&gt;=80,"A",IF(J16&gt;=65,"B",IF(J16&gt;=50,"C","F"))),"")</f>
      </c>
    </row>
    <row r="17" ht="21" hidden="0" customHeight="1">
      <c r="A17" s="5"/>
      <c r="B17" s="6"/>
      <c r="C17" s="7" t="str">
        <f aca="0">IF(ISNUMBER(B17),B17*20/15,"")</f>
      </c>
      <c r="D17" s="6"/>
      <c r="E17" s="7" t="str">
        <f aca="0">IF(ISNUMBER(D17),D17*20/15,"")</f>
      </c>
      <c r="F17" s="6"/>
      <c r="G17" s="7" t="str">
        <f aca="0">IF(ISNUMBER(F17),F17*20/15,"")</f>
      </c>
      <c r="H17" s="6"/>
      <c r="I17" s="6"/>
      <c r="J17" s="8" t="str">
        <f aca="0">IF(A17="","",IF(COUNT(C17,E17,G17,H17,I17)&lt;5,"",SUM(C17,E17,G17,H17,I17)))</f>
      </c>
      <c r="K17" s="9" t="str">
        <f aca="0">IF(ISNUMBER(J17),IF(J17&gt;=80,"A",IF(J17&gt;=65,"B",IF(J17&gt;=50,"C","F"))),"")</f>
      </c>
    </row>
    <row r="18" ht="21" hidden="0" customHeight="1">
      <c r="A18" s="5"/>
      <c r="B18" s="6"/>
      <c r="C18" s="7" t="str">
        <f aca="0">IF(ISNUMBER(B18),B18*20/15,"")</f>
      </c>
      <c r="D18" s="6"/>
      <c r="E18" s="7" t="str">
        <f aca="0">IF(ISNUMBER(D18),D18*20/15,"")</f>
      </c>
      <c r="F18" s="6"/>
      <c r="G18" s="7" t="str">
        <f aca="0">IF(ISNUMBER(F18),F18*20/15,"")</f>
      </c>
      <c r="H18" s="6"/>
      <c r="I18" s="6"/>
      <c r="J18" s="8" t="str">
        <f aca="0">IF(A18="","",IF(COUNT(C18,E18,G18,H18,I18)&lt;5,"",SUM(C18,E18,G18,H18,I18)))</f>
      </c>
      <c r="K18" s="9" t="str">
        <f aca="0">IF(ISNUMBER(J18),IF(J18&gt;=80,"A",IF(J18&gt;=65,"B",IF(J18&gt;=50,"C","F"))),"")</f>
      </c>
    </row>
    <row r="19" ht="21" hidden="0" customHeight="1">
      <c r="A19" s="5"/>
      <c r="B19" s="6"/>
      <c r="C19" s="7" t="str">
        <f aca="0">IF(ISNUMBER(B19),B19*20/15,"")</f>
      </c>
      <c r="D19" s="6"/>
      <c r="E19" s="7" t="str">
        <f aca="0">IF(ISNUMBER(D19),D19*20/15,"")</f>
      </c>
      <c r="F19" s="6"/>
      <c r="G19" s="7" t="str">
        <f aca="0">IF(ISNUMBER(F19),F19*20/15,"")</f>
      </c>
      <c r="H19" s="6"/>
      <c r="I19" s="6"/>
      <c r="J19" s="8" t="str">
        <f aca="0">IF(A19="","",IF(COUNT(C19,E19,G19,H19,I19)&lt;5,"",SUM(C19,E19,G19,H19,I19)))</f>
      </c>
      <c r="K19" s="9" t="str">
        <f aca="0">IF(ISNUMBER(J19),IF(J19&gt;=80,"A",IF(J19&gt;=65,"B",IF(J19&gt;=50,"C","F"))),"")</f>
      </c>
    </row>
    <row r="20" ht="21" hidden="0" customHeight="1">
      <c r="A20" s="5"/>
      <c r="B20" s="6"/>
      <c r="C20" s="7" t="str">
        <f aca="0">IF(ISNUMBER(B20),B20*20/15,"")</f>
      </c>
      <c r="D20" s="6"/>
      <c r="E20" s="7" t="str">
        <f aca="0">IF(ISNUMBER(D20),D20*20/15,"")</f>
      </c>
      <c r="F20" s="6"/>
      <c r="G20" s="7" t="str">
        <f aca="0">IF(ISNUMBER(F20),F20*20/15,"")</f>
      </c>
      <c r="H20" s="6"/>
      <c r="I20" s="6"/>
      <c r="J20" s="8" t="str">
        <f aca="0">IF(A20="","",IF(COUNT(C20,E20,G20,H20,I20)&lt;5,"",SUM(C20,E20,G20,H20,I20)))</f>
      </c>
      <c r="K20" s="9" t="str">
        <f aca="0">IF(ISNUMBER(J20),IF(J20&gt;=80,"A",IF(J20&gt;=65,"B",IF(J20&gt;=50,"C","F"))),"")</f>
      </c>
    </row>
    <row r="21" ht="21" hidden="0" customHeight="1">
      <c r="A21" s="5"/>
      <c r="B21" s="6"/>
      <c r="C21" s="7" t="str">
        <f aca="0">IF(ISNUMBER(B21),B21*20/15,"")</f>
      </c>
      <c r="D21" s="6"/>
      <c r="E21" s="7" t="str">
        <f aca="0">IF(ISNUMBER(D21),D21*20/15,"")</f>
      </c>
      <c r="F21" s="6"/>
      <c r="G21" s="7" t="str">
        <f aca="0">IF(ISNUMBER(F21),F21*20/15,"")</f>
      </c>
      <c r="H21" s="6"/>
      <c r="I21" s="6"/>
      <c r="J21" s="8" t="str">
        <f aca="0">IF(A21="","",IF(COUNT(C21,E21,G21,H21,I21)&lt;5,"",SUM(C21,E21,G21,H21,I21)))</f>
      </c>
      <c r="K21" s="9" t="str">
        <f aca="0">IF(ISNUMBER(J21),IF(J21&gt;=80,"A",IF(J21&gt;=65,"B",IF(J21&gt;=50,"C","F"))),"")</f>
      </c>
    </row>
    <row r="22" ht="21" hidden="0" customHeight="1">
      <c r="A22" s="5"/>
      <c r="B22" s="6"/>
      <c r="C22" s="7" t="str">
        <f aca="0">IF(ISNUMBER(B22),B22*20/15,"")</f>
      </c>
      <c r="D22" s="6"/>
      <c r="E22" s="7" t="str">
        <f aca="0">IF(ISNUMBER(D22),D22*20/15,"")</f>
      </c>
      <c r="F22" s="6"/>
      <c r="G22" s="7" t="str">
        <f aca="0">IF(ISNUMBER(F22),F22*20/15,"")</f>
      </c>
      <c r="H22" s="6"/>
      <c r="I22" s="6"/>
      <c r="J22" s="8" t="str">
        <f aca="0">IF(A22="","",IF(COUNT(C22,E22,G22,H22,I22)&lt;5,"",SUM(C22,E22,G22,H22,I22)))</f>
      </c>
      <c r="K22" s="9" t="str">
        <f aca="0">IF(ISNUMBER(J22),IF(J22&gt;=80,"A",IF(J22&gt;=65,"B",IF(J22&gt;=50,"C","F"))),"")</f>
      </c>
    </row>
    <row r="23" ht="21" hidden="0" customHeight="1">
      <c r="A23" s="5"/>
      <c r="B23" s="6"/>
      <c r="C23" s="7" t="str">
        <f aca="0">IF(ISNUMBER(B23),B23*20/15,"")</f>
      </c>
      <c r="D23" s="6"/>
      <c r="E23" s="7" t="str">
        <f aca="0">IF(ISNUMBER(D23),D23*20/15,"")</f>
      </c>
      <c r="F23" s="6"/>
      <c r="G23" s="7" t="str">
        <f aca="0">IF(ISNUMBER(F23),F23*20/15,"")</f>
      </c>
      <c r="H23" s="6"/>
      <c r="I23" s="6"/>
      <c r="J23" s="8" t="str">
        <f aca="0">IF(A23="","",IF(COUNT(C23,E23,G23,H23,I23)&lt;5,"",SUM(C23,E23,G23,H23,I23)))</f>
      </c>
      <c r="K23" s="9" t="str">
        <f aca="0">IF(ISNUMBER(J23),IF(J23&gt;=80,"A",IF(J23&gt;=65,"B",IF(J23&gt;=50,"C","F"))),"")</f>
      </c>
    </row>
    <row r="24" ht="21" hidden="0" customHeight="1">
      <c r="A24" s="5"/>
      <c r="B24" s="6"/>
      <c r="C24" s="7" t="str">
        <f aca="0">IF(ISNUMBER(B24),B24*20/15,"")</f>
      </c>
      <c r="D24" s="6"/>
      <c r="E24" s="7" t="str">
        <f aca="0">IF(ISNUMBER(D24),D24*20/15,"")</f>
      </c>
      <c r="F24" s="6"/>
      <c r="G24" s="7" t="str">
        <f aca="0">IF(ISNUMBER(F24),F24*20/15,"")</f>
      </c>
      <c r="H24" s="6"/>
      <c r="I24" s="6"/>
      <c r="J24" s="8" t="str">
        <f aca="0">IF(A24="","",IF(COUNT(C24,E24,G24,H24,I24)&lt;5,"",SUM(C24,E24,G24,H24,I24)))</f>
      </c>
      <c r="K24" s="9" t="str">
        <f aca="0">IF(ISNUMBER(J24),IF(J24&gt;=80,"A",IF(J24&gt;=65,"B",IF(J24&gt;=50,"C","F"))),"")</f>
      </c>
    </row>
    <row r="25" ht="21" hidden="0" customHeight="1">
      <c r="A25" s="5"/>
      <c r="B25" s="6"/>
      <c r="C25" s="7" t="str">
        <f aca="0">IF(ISNUMBER(B25),B25*20/15,"")</f>
      </c>
      <c r="D25" s="6"/>
      <c r="E25" s="7" t="str">
        <f aca="0">IF(ISNUMBER(D25),D25*20/15,"")</f>
      </c>
      <c r="F25" s="6"/>
      <c r="G25" s="7" t="str">
        <f aca="0">IF(ISNUMBER(F25),F25*20/15,"")</f>
      </c>
      <c r="H25" s="6"/>
      <c r="I25" s="6"/>
      <c r="J25" s="8" t="str">
        <f aca="0">IF(A25="","",IF(COUNT(C25,E25,G25,H25,I25)&lt;5,"",SUM(C25,E25,G25,H25,I25)))</f>
      </c>
      <c r="K25" s="9" t="str">
        <f aca="0">IF(ISNUMBER(J25),IF(J25&gt;=80,"A",IF(J25&gt;=65,"B",IF(J25&gt;=50,"C","F"))),"")</f>
      </c>
    </row>
    <row r="26" ht="21" hidden="0" customHeight="1">
      <c r="A26" s="5"/>
      <c r="B26" s="6"/>
      <c r="C26" s="7" t="str">
        <f aca="0">IF(ISNUMBER(B26),B26*20/15,"")</f>
      </c>
      <c r="D26" s="6"/>
      <c r="E26" s="7" t="str">
        <f aca="0">IF(ISNUMBER(D26),D26*20/15,"")</f>
      </c>
      <c r="F26" s="6"/>
      <c r="G26" s="7" t="str">
        <f aca="0">IF(ISNUMBER(F26),F26*20/15,"")</f>
      </c>
      <c r="H26" s="6"/>
      <c r="I26" s="6"/>
      <c r="J26" s="8" t="str">
        <f aca="0">IF(A26="","",IF(COUNT(C26,E26,G26,H26,I26)&lt;5,"",SUM(C26,E26,G26,H26,I26)))</f>
      </c>
      <c r="K26" s="9" t="str">
        <f aca="0">IF(ISNUMBER(J26),IF(J26&gt;=80,"A",IF(J26&gt;=65,"B",IF(J26&gt;=50,"C","F"))),"")</f>
      </c>
    </row>
    <row r="27" ht="21" hidden="0" customHeight="1">
      <c r="A27" s="5"/>
      <c r="B27" s="6"/>
      <c r="C27" s="7" t="str">
        <f aca="0">IF(ISNUMBER(B27),B27*20/15,"")</f>
      </c>
      <c r="D27" s="6"/>
      <c r="E27" s="7" t="str">
        <f aca="0">IF(ISNUMBER(D27),D27*20/15,"")</f>
      </c>
      <c r="F27" s="6"/>
      <c r="G27" s="7" t="str">
        <f aca="0">IF(ISNUMBER(F27),F27*20/15,"")</f>
      </c>
      <c r="H27" s="6"/>
      <c r="I27" s="6"/>
      <c r="J27" s="8" t="str">
        <f aca="0">IF(A27="","",IF(COUNT(C27,E27,G27,H27,I27)&lt;5,"",SUM(C27,E27,G27,H27,I27)))</f>
      </c>
      <c r="K27" s="9" t="str">
        <f aca="0">IF(ISNUMBER(J27),IF(J27&gt;=80,"A",IF(J27&gt;=65,"B",IF(J27&gt;=50,"C","F"))),"")</f>
      </c>
    </row>
    <row r="28" ht="21" hidden="0" customHeight="1">
      <c r="A28" s="5"/>
      <c r="B28" s="6"/>
      <c r="C28" s="7" t="str">
        <f aca="0">IF(ISNUMBER(B28),B28*20/15,"")</f>
      </c>
      <c r="D28" s="6"/>
      <c r="E28" s="7" t="str">
        <f aca="0">IF(ISNUMBER(D28),D28*20/15,"")</f>
      </c>
      <c r="F28" s="6"/>
      <c r="G28" s="7" t="str">
        <f aca="0">IF(ISNUMBER(F28),F28*20/15,"")</f>
      </c>
      <c r="H28" s="6"/>
      <c r="I28" s="6"/>
      <c r="J28" s="8" t="str">
        <f aca="0">IF(A28="","",IF(COUNT(C28,E28,G28,H28,I28)&lt;5,"",SUM(C28,E28,G28,H28,I28)))</f>
      </c>
      <c r="K28" s="9" t="str">
        <f aca="0">IF(ISNUMBER(J28),IF(J28&gt;=80,"A",IF(J28&gt;=65,"B",IF(J28&gt;=50,"C","F"))),"")</f>
      </c>
    </row>
    <row r="29" ht="21" hidden="0" customHeight="1">
      <c r="A29" s="5"/>
      <c r="B29" s="6"/>
      <c r="C29" s="7" t="str">
        <f aca="0">IF(ISNUMBER(B29),B29*20/15,"")</f>
      </c>
      <c r="D29" s="6"/>
      <c r="E29" s="7" t="str">
        <f aca="0">IF(ISNUMBER(D29),D29*20/15,"")</f>
      </c>
      <c r="F29" s="6"/>
      <c r="G29" s="7" t="str">
        <f aca="0">IF(ISNUMBER(F29),F29*20/15,"")</f>
      </c>
      <c r="H29" s="6"/>
      <c r="I29" s="6"/>
      <c r="J29" s="8" t="str">
        <f aca="0">IF(A29="","",IF(COUNT(C29,E29,G29,H29,I29)&lt;5,"",SUM(C29,E29,G29,H29,I29)))</f>
      </c>
      <c r="K29" s="9" t="str">
        <f aca="0">IF(ISNUMBER(J29),IF(J29&gt;=80,"A",IF(J29&gt;=65,"B",IF(J29&gt;=50,"C","F"))),"")</f>
      </c>
    </row>
    <row r="30" ht="21" hidden="0" customHeight="1">
      <c r="A30" s="5"/>
      <c r="B30" s="6"/>
      <c r="C30" s="7" t="str">
        <f aca="0">IF(ISNUMBER(B30),B30*20/15,"")</f>
      </c>
      <c r="D30" s="6"/>
      <c r="E30" s="7" t="str">
        <f aca="0">IF(ISNUMBER(D30),D30*20/15,"")</f>
      </c>
      <c r="F30" s="6"/>
      <c r="G30" s="7" t="str">
        <f aca="0">IF(ISNUMBER(F30),F30*20/15,"")</f>
      </c>
      <c r="H30" s="6"/>
      <c r="I30" s="6"/>
      <c r="J30" s="8" t="str">
        <f aca="0">IF(A30="","",IF(COUNT(C30,E30,G30,H30,I30)&lt;5,"",SUM(C30,E30,G30,H30,I30)))</f>
      </c>
      <c r="K30" s="9" t="str">
        <f aca="0">IF(ISNUMBER(J30),IF(J30&gt;=80,"A",IF(J30&gt;=65,"B",IF(J30&gt;=50,"C","F"))),"")</f>
      </c>
    </row>
    <row r="31" ht="21" hidden="0" customHeight="1">
      <c r="A31" s="5"/>
      <c r="B31" s="6"/>
      <c r="C31" s="7" t="str">
        <f aca="0">IF(ISNUMBER(B31),B31*20/15,"")</f>
      </c>
      <c r="D31" s="6"/>
      <c r="E31" s="7" t="str">
        <f aca="0">IF(ISNUMBER(D31),D31*20/15,"")</f>
      </c>
      <c r="F31" s="6"/>
      <c r="G31" s="7" t="str">
        <f aca="0">IF(ISNUMBER(F31),F31*20/15,"")</f>
      </c>
      <c r="H31" s="6"/>
      <c r="I31" s="6"/>
      <c r="J31" s="8" t="str">
        <f aca="0">IF(A31="","",IF(COUNT(C31,E31,G31,H31,I31)&lt;5,"",SUM(C31,E31,G31,H31,I31)))</f>
      </c>
      <c r="K31" s="9" t="str">
        <f aca="0">IF(ISNUMBER(J31),IF(J31&gt;=80,"A",IF(J31&gt;=65,"B",IF(J31&gt;=50,"C","F"))),"")</f>
      </c>
    </row>
    <row r="32" ht="21" hidden="0" customHeight="1">
      <c r="A32" s="5"/>
      <c r="B32" s="6"/>
      <c r="C32" s="7" t="str">
        <f aca="0">IF(ISNUMBER(B32),B32*20/15,"")</f>
      </c>
      <c r="D32" s="6"/>
      <c r="E32" s="7" t="str">
        <f aca="0">IF(ISNUMBER(D32),D32*20/15,"")</f>
      </c>
      <c r="F32" s="6"/>
      <c r="G32" s="7" t="str">
        <f aca="0">IF(ISNUMBER(F32),F32*20/15,"")</f>
      </c>
      <c r="H32" s="6"/>
      <c r="I32" s="6"/>
      <c r="J32" s="8" t="str">
        <f aca="0">IF(A32="","",IF(COUNT(C32,E32,G32,H32,I32)&lt;5,"",SUM(C32,E32,G32,H32,I32)))</f>
      </c>
      <c r="K32" s="9" t="str">
        <f aca="0">IF(ISNUMBER(J32),IF(J32&gt;=80,"A",IF(J32&gt;=65,"B",IF(J32&gt;=50,"C","F"))),"")</f>
      </c>
    </row>
    <row r="33" ht="21" hidden="0" customHeight="1">
      <c r="A33" s="5"/>
      <c r="B33" s="6"/>
      <c r="C33" s="7" t="str">
        <f aca="0">IF(ISNUMBER(B33),B33*20/15,"")</f>
      </c>
      <c r="D33" s="6"/>
      <c r="E33" s="7" t="str">
        <f aca="0">IF(ISNUMBER(D33),D33*20/15,"")</f>
      </c>
      <c r="F33" s="6"/>
      <c r="G33" s="7" t="str">
        <f aca="0">IF(ISNUMBER(F33),F33*20/15,"")</f>
      </c>
      <c r="H33" s="6"/>
      <c r="I33" s="6"/>
      <c r="J33" s="8" t="str">
        <f aca="0">IF(A33="","",IF(COUNT(C33,E33,G33,H33,I33)&lt;5,"",SUM(C33,E33,G33,H33,I33)))</f>
      </c>
      <c r="K33" s="9" t="str">
        <f aca="0">IF(ISNUMBER(J33),IF(J33&gt;=80,"A",IF(J33&gt;=65,"B",IF(J33&gt;=50,"C","F"))),"")</f>
      </c>
    </row>
    <row r="34" ht="21" hidden="0" customHeight="1">
      <c r="A34" s="5"/>
      <c r="B34" s="6"/>
      <c r="C34" s="7" t="str">
        <f aca="0">IF(ISNUMBER(B34),B34*20/15,"")</f>
      </c>
      <c r="D34" s="6"/>
      <c r="E34" s="7" t="str">
        <f aca="0">IF(ISNUMBER(D34),D34*20/15,"")</f>
      </c>
      <c r="F34" s="6"/>
      <c r="G34" s="7" t="str">
        <f aca="0">IF(ISNUMBER(F34),F34*20/15,"")</f>
      </c>
      <c r="H34" s="6"/>
      <c r="I34" s="6"/>
      <c r="J34" s="8" t="str">
        <f aca="0">IF(A34="","",IF(COUNT(C34,E34,G34,H34,I34)&lt;5,"",SUM(C34,E34,G34,H34,I34)))</f>
      </c>
      <c r="K34" s="9" t="str">
        <f aca="0">IF(ISNUMBER(J34),IF(J34&gt;=80,"A",IF(J34&gt;=65,"B",IF(J34&gt;=50,"C","F"))),"")</f>
      </c>
    </row>
    <row r="35" ht="21" hidden="0" customHeight="1">
      <c r="A35" s="5"/>
      <c r="B35" s="6"/>
      <c r="C35" s="7" t="str">
        <f aca="0">IF(ISNUMBER(B35),B35*20/15,"")</f>
      </c>
      <c r="D35" s="6"/>
      <c r="E35" s="7" t="str">
        <f aca="0">IF(ISNUMBER(D35),D35*20/15,"")</f>
      </c>
      <c r="F35" s="6"/>
      <c r="G35" s="7" t="str">
        <f aca="0">IF(ISNUMBER(F35),F35*20/15,"")</f>
      </c>
      <c r="H35" s="6"/>
      <c r="I35" s="6"/>
      <c r="J35" s="8" t="str">
        <f aca="0">IF(A35="","",IF(COUNT(C35,E35,G35,H35,I35)&lt;5,"",SUM(C35,E35,G35,H35,I35)))</f>
      </c>
      <c r="K35" s="9" t="str">
        <f aca="0">IF(ISNUMBER(J35),IF(J35&gt;=80,"A",IF(J35&gt;=65,"B",IF(J35&gt;=50,"C","F"))),"")</f>
      </c>
    </row>
    <row r="36" ht="21" hidden="0" customHeight="1">
      <c r="A36" s="5"/>
      <c r="B36" s="6"/>
      <c r="C36" s="7" t="str">
        <f aca="0">IF(ISNUMBER(B36),B36*20/15,"")</f>
      </c>
      <c r="D36" s="6"/>
      <c r="E36" s="7" t="str">
        <f aca="0">IF(ISNUMBER(D36),D36*20/15,"")</f>
      </c>
      <c r="F36" s="6"/>
      <c r="G36" s="7" t="str">
        <f aca="0">IF(ISNUMBER(F36),F36*20/15,"")</f>
      </c>
      <c r="H36" s="6"/>
      <c r="I36" s="6"/>
      <c r="J36" s="8" t="str">
        <f aca="0">IF(A36="","",IF(COUNT(C36,E36,G36,H36,I36)&lt;5,"",SUM(C36,E36,G36,H36,I36)))</f>
      </c>
      <c r="K36" s="9" t="str">
        <f aca="0">IF(ISNUMBER(J36),IF(J36&gt;=80,"A",IF(J36&gt;=65,"B",IF(J36&gt;=50,"C","F"))),"")</f>
      </c>
    </row>
    <row r="37" ht="21" hidden="0" customHeight="1">
      <c r="A37" s="5"/>
      <c r="B37" s="6"/>
      <c r="C37" s="7" t="str">
        <f aca="0">IF(ISNUMBER(B37),B37*20/15,"")</f>
      </c>
      <c r="D37" s="6"/>
      <c r="E37" s="7" t="str">
        <f aca="0">IF(ISNUMBER(D37),D37*20/15,"")</f>
      </c>
      <c r="F37" s="6"/>
      <c r="G37" s="7" t="str">
        <f aca="0">IF(ISNUMBER(F37),F37*20/15,"")</f>
      </c>
      <c r="H37" s="6"/>
      <c r="I37" s="6"/>
      <c r="J37" s="8" t="str">
        <f aca="0">IF(A37="","",IF(COUNT(C37,E37,G37,H37,I37)&lt;5,"",SUM(C37,E37,G37,H37,I37)))</f>
      </c>
      <c r="K37" s="9" t="str">
        <f aca="0">IF(ISNUMBER(J37),IF(J37&gt;=80,"A",IF(J37&gt;=65,"B",IF(J37&gt;=50,"C","F"))),"")</f>
      </c>
    </row>
    <row r="38" ht="21" hidden="0" customHeight="1">
      <c r="A38" s="5"/>
      <c r="B38" s="6"/>
      <c r="C38" s="7" t="str">
        <f aca="0">IF(ISNUMBER(B38),B38*20/15,"")</f>
      </c>
      <c r="D38" s="6"/>
      <c r="E38" s="7" t="str">
        <f aca="0">IF(ISNUMBER(D38),D38*20/15,"")</f>
      </c>
      <c r="F38" s="6"/>
      <c r="G38" s="7" t="str">
        <f aca="0">IF(ISNUMBER(F38),F38*20/15,"")</f>
      </c>
      <c r="H38" s="6"/>
      <c r="I38" s="6"/>
      <c r="J38" s="8" t="str">
        <f aca="0">IF(A38="","",IF(COUNT(C38,E38,G38,H38,I38)&lt;5,"",SUM(C38,E38,G38,H38,I38)))</f>
      </c>
      <c r="K38" s="9" t="str">
        <f aca="0">IF(ISNUMBER(J38),IF(J38&gt;=80,"A",IF(J38&gt;=65,"B",IF(J38&gt;=50,"C","F"))),"")</f>
      </c>
    </row>
    <row r="39" ht="21" hidden="0" customHeight="1">
      <c r="A39" s="5"/>
      <c r="B39" s="6"/>
      <c r="C39" s="7" t="str">
        <f aca="0">IF(ISNUMBER(B39),B39*20/15,"")</f>
      </c>
      <c r="D39" s="6"/>
      <c r="E39" s="7" t="str">
        <f aca="0">IF(ISNUMBER(D39),D39*20/15,"")</f>
      </c>
      <c r="F39" s="6"/>
      <c r="G39" s="7" t="str">
        <f aca="0">IF(ISNUMBER(F39),F39*20/15,"")</f>
      </c>
      <c r="H39" s="6"/>
      <c r="I39" s="6"/>
      <c r="J39" s="8" t="str">
        <f aca="0">IF(A39="","",IF(COUNT(C39,E39,G39,H39,I39)&lt;5,"",SUM(C39,E39,G39,H39,I39)))</f>
      </c>
      <c r="K39" s="9" t="str">
        <f aca="0">IF(ISNUMBER(J39),IF(J39&gt;=80,"A",IF(J39&gt;=65,"B",IF(J39&gt;=50,"C","F"))),"")</f>
      </c>
    </row>
    <row r="40" ht="21" hidden="0" customHeight="1">
      <c r="A40" s="5"/>
      <c r="B40" s="6"/>
      <c r="C40" s="7" t="str">
        <f aca="0">IF(ISNUMBER(B40),B40*20/15,"")</f>
      </c>
      <c r="D40" s="6"/>
      <c r="E40" s="7" t="str">
        <f aca="0">IF(ISNUMBER(D40),D40*20/15,"")</f>
      </c>
      <c r="F40" s="6"/>
      <c r="G40" s="7" t="str">
        <f aca="0">IF(ISNUMBER(F40),F40*20/15,"")</f>
      </c>
      <c r="H40" s="6"/>
      <c r="I40" s="6"/>
      <c r="J40" s="8" t="str">
        <f aca="0">IF(A40="","",IF(COUNT(C40,E40,G40,H40,I40)&lt;5,"",SUM(C40,E40,G40,H40,I40)))</f>
      </c>
      <c r="K40" s="9" t="str">
        <f aca="0">IF(ISNUMBER(J40),IF(J40&gt;=80,"A",IF(J40&gt;=65,"B",IF(J40&gt;=50,"C","F"))),"")</f>
      </c>
    </row>
    <row r="41" ht="21" hidden="0" customHeight="1">
      <c r="A41" s="5"/>
      <c r="B41" s="6"/>
      <c r="C41" s="7" t="str">
        <f aca="0">IF(ISNUMBER(B41),B41*20/15,"")</f>
      </c>
      <c r="D41" s="6"/>
      <c r="E41" s="7" t="str">
        <f aca="0">IF(ISNUMBER(D41),D41*20/15,"")</f>
      </c>
      <c r="F41" s="6"/>
      <c r="G41" s="7" t="str">
        <f aca="0">IF(ISNUMBER(F41),F41*20/15,"")</f>
      </c>
      <c r="H41" s="6"/>
      <c r="I41" s="6"/>
      <c r="J41" s="8" t="str">
        <f aca="0">IF(A41="","",IF(COUNT(C41,E41,G41,H41,I41)&lt;5,"",SUM(C41,E41,G41,H41,I41)))</f>
      </c>
      <c r="K41" s="9" t="str">
        <f aca="0">IF(ISNUMBER(J41),IF(J41&gt;=80,"A",IF(J41&gt;=65,"B",IF(J41&gt;=50,"C","F"))),"")</f>
      </c>
    </row>
    <row r="42" ht="21" hidden="0" customHeight="1">
      <c r="A42" s="5"/>
      <c r="B42" s="6"/>
      <c r="C42" s="7" t="str">
        <f aca="0">IF(ISNUMBER(B42),B42*20/15,"")</f>
      </c>
      <c r="D42" s="6"/>
      <c r="E42" s="7" t="str">
        <f aca="0">IF(ISNUMBER(D42),D42*20/15,"")</f>
      </c>
      <c r="F42" s="6"/>
      <c r="G42" s="7" t="str">
        <f aca="0">IF(ISNUMBER(F42),F42*20/15,"")</f>
      </c>
      <c r="H42" s="6"/>
      <c r="I42" s="6"/>
      <c r="J42" s="8" t="str">
        <f aca="0">IF(A42="","",IF(COUNT(C42,E42,G42,H42,I42)&lt;5,"",SUM(C42,E42,G42,H42,I42)))</f>
      </c>
      <c r="K42" s="9" t="str">
        <f aca="0">IF(ISNUMBER(J42),IF(J42&gt;=80,"A",IF(J42&gt;=65,"B",IF(J42&gt;=50,"C","F"))),"")</f>
      </c>
    </row>
    <row r="43" ht="21" hidden="0" customHeight="1">
      <c r="A43" s="5"/>
      <c r="B43" s="6"/>
      <c r="C43" s="7" t="str">
        <f aca="0">IF(ISNUMBER(B43),B43*20/15,"")</f>
      </c>
      <c r="D43" s="6"/>
      <c r="E43" s="7" t="str">
        <f aca="0">IF(ISNUMBER(D43),D43*20/15,"")</f>
      </c>
      <c r="F43" s="6"/>
      <c r="G43" s="7" t="str">
        <f aca="0">IF(ISNUMBER(F43),F43*20/15,"")</f>
      </c>
      <c r="H43" s="6"/>
      <c r="I43" s="6"/>
      <c r="J43" s="8" t="str">
        <f aca="0">IF(A43="","",IF(COUNT(C43,E43,G43,H43,I43)&lt;5,"",SUM(C43,E43,G43,H43,I43)))</f>
      </c>
      <c r="K43" s="9" t="str">
        <f aca="0">IF(ISNUMBER(J43),IF(J43&gt;=80,"A",IF(J43&gt;=65,"B",IF(J43&gt;=50,"C","F"))),"")</f>
      </c>
    </row>
  </sheetData>
  <mergeCells>
    <mergeCell ref="A2:I2"/>
  </mergeCells>
  <dataValidations count="5">
    <dataValidation type="whole" errorStyle="stop" operator="between" allowBlank="0" showDropDown="0" showInputMessage="0" showErrorMessage="0" sqref="B4:B43">
      <formula1>0</formula1>
      <formula2>15</formula2>
    </dataValidation>
    <dataValidation type="whole" errorStyle="stop" operator="between" allowBlank="0" showDropDown="0" showInputMessage="0" showErrorMessage="0" sqref="D4:D43">
      <formula1>0</formula1>
      <formula2>15</formula2>
    </dataValidation>
    <dataValidation type="whole" errorStyle="stop" operator="between" allowBlank="0" showDropDown="0" showInputMessage="0" showErrorMessage="0" sqref="F4:F43">
      <formula1>0</formula1>
      <formula2>15</formula2>
    </dataValidation>
    <dataValidation type="whole" errorStyle="stop" operator="between" allowBlank="0" showDropDown="0" showInputMessage="0" showErrorMessage="0" sqref="H4:H43">
      <formula1>0</formula1>
      <formula2>20</formula2>
    </dataValidation>
    <dataValidation type="whole" errorStyle="stop" operator="between" allowBlank="0" showDropDown="0" showInputMessage="0" showErrorMessage="0" sqref="I4:I43">
      <formula1>0</formula1>
      <formula2>20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>
    <tabColor rgb="FF5B9BD5"/>
  </sheetPr>
  <sheetViews>
    <sheetView showGridLines="0" workbookViewId="0">
      <pane ySplit="4" topLeftCell="A5" activePane="bottomLeft" state="frozen"/>
    </sheetView>
  </sheetViews>
  <sheetFormatPr defaultColWidth="8.6796875" defaultRowHeight="15"/>
  <cols>
    <col min="1" max="1" width="31" style="1" hidden="0" customWidth="1"/>
    <col min="2" max="2" width="57" style="1" hidden="0" customWidth="1"/>
    <col min="3" max="3" width="17" style="1" hidden="0" customWidth="1"/>
    <col min="4" max="4" width="15" style="1" hidden="0" customWidth="1"/>
    <col min="5" max="5" width="68" style="1" hidden="0" customWidth="1"/>
  </cols>
  <sheetData>
    <row r="2" ht="25.5" hidden="0" customHeight="1">
      <c r="A2" s="2" t="inlineStr">
        <is>
          <t>Historical Course Readiness Evidence</t>
        </is>
      </c>
      <c r="B2" s="2"/>
      <c r="C2" s="2"/>
      <c r="D2" s="2"/>
      <c r="E2" s="2"/>
    </row>
    <row r="3" ht="15" hidden="0" customHeight="1">
      <c r="A3" s="10" t="inlineStr">
        <is>
          <t>HISTORICAL SNAPSHOT - Earlier runs only. See assessment_compliance_checklist.md for current release verification.</t>
        </is>
      </c>
      <c r="B3" s="10"/>
      <c r="C3" s="10"/>
      <c r="D3" s="10"/>
      <c r="E3" s="10"/>
    </row>
    <row r="4" ht="30" hidden="0" customHeight="1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</row>
    <row r="5" ht="45" hidden="0" customHeight="1">
      <c r="A5" s="12" t="str">
        <v>Repository test suite</v>
      </c>
      <c r="B5" s="12" t="str">
        <v>Run python -m pytest tests/ -v; capture the actual count and environment.</v>
      </c>
      <c r="C5" s="13" t="str">
        <v>Recorded</v>
      </c>
      <c r="D5" s="13" t="str">
        <v>2026-10-08</v>
      </c>
      <c r="E5" s="12" t="str">
        <v>Assessment checklist records 38 passed, 27 CrewAI warnings, no skips. See that file for the environment and execution timings.</v>
      </c>
    </row>
    <row r="6" ht="45" hidden="0" customHeight="1">
      <c r="A6" s="12" t="s">
        <v>18</v>
      </c>
      <c r="B6" s="12" t="s">
        <v>19</v>
      </c>
      <c r="C6" s="13" t="s">
        <v>20</v>
      </c>
      <c r="D6" s="13" t="s">
        <v>21</v>
      </c>
      <c r="E6" s="12" t="s">
        <v>22</v>
      </c>
    </row>
    <row r="7" ht="45" hidden="0" customHeight="1">
      <c r="A7" s="12" t="s">
        <v>23</v>
      </c>
      <c r="B7" s="12" t="s">
        <v>24</v>
      </c>
      <c r="C7" s="13" t="s">
        <v>20</v>
      </c>
      <c r="D7" s="13" t="s">
        <v>21</v>
      </c>
      <c r="E7" s="12" t="s">
        <v>25</v>
      </c>
    </row>
    <row r="8" ht="45" hidden="0" customHeight="1">
      <c r="A8" s="12" t="s">
        <v>26</v>
      </c>
      <c r="B8" s="12" t="s">
        <v>27</v>
      </c>
      <c r="C8" s="13" t="s">
        <v>20</v>
      </c>
      <c r="D8" s="13" t="s">
        <v>21</v>
      </c>
      <c r="E8" s="12" t="s">
        <v>28</v>
      </c>
    </row>
    <row r="9" ht="45" hidden="0" customHeight="1">
      <c r="A9" s="12" t="s">
        <v>29</v>
      </c>
      <c r="B9" s="12" t="s">
        <v>30</v>
      </c>
      <c r="C9" s="13" t="s">
        <v>20</v>
      </c>
      <c r="D9" s="13" t="s">
        <v>21</v>
      </c>
      <c r="E9" s="12" t="s">
        <v>31</v>
      </c>
    </row>
    <row r="10" ht="45" hidden="0" customHeight="1">
      <c r="A10" s="12" t="str">
        <v>Provider-free deterministic path</v>
      </c>
      <c r="B10" s="12" t="str">
        <v>Required examples use local fixtures after setup.</v>
      </c>
      <c r="C10" s="13" t="str">
        <v>Recorded</v>
      </c>
      <c r="D10" s="13" t="str">
        <v>2026-10-08</v>
      </c>
      <c r="E10" s="12" t="str">
        <v>Assessment checklist records deterministic execution without provider calls. Network-disconnection testing is not required.</v>
      </c>
    </row>
    <row r="11" ht="45" hidden="0" customHeight="1">
      <c r="A11" s="12" t="str">
        <v>Learner setup and ZIP route</v>
      </c>
      <c r="B11" s="12" t="str">
        <v>SETUP.md gives the Python 3.12 workshop install and ZIP route.</v>
      </c>
      <c r="C11" s="13" t="str">
        <v>Recorded</v>
      </c>
      <c r="D11" s="13" t="str">
        <v>2026-10-08</v>
      </c>
      <c r="E11" s="12" t="str">
        <v>Assessment checklist records final requirements-workshop.txt install in 73.1 seconds and successful JupyterLab startup.</v>
      </c>
    </row>
    <row r="12" ht="45" hidden="0" customHeight="1">
      <c r="A12" s="12" t="inlineStr">
        <is>
          <t>UN Volunteers deck review</t>
        </is>
      </c>
      <c r="B12" s="12" t="inlineStr">
        <is>
          <t>Review 14 slides: Manager audit and oversight, framework comparison and decision tree, and inter-team delivery.</t>
        </is>
      </c>
      <c r="C12" s="13" t="inlineStr">
        <is>
          <t>Recorded</t>
        </is>
      </c>
      <c r="D12" s="13" t="inlineStr">
        <is>
          <t>2026-10-17</t>
        </is>
      </c>
      <c r="E12" s="12" t="inlineStr">
        <is>
          <t>Management revision: 14 slides reviewed. Package/layout/fonts/import/arithmetic: 0 findings, 0 warnings. SHA256: 79daa131bb3f511533dfb24bbb21c88d53dce58e7465f998c311bd6db163a0db</t>
        </is>
      </c>
    </row>
    <row r="13" ht="45" hidden="0" customHeight="1">
      <c r="A13" s="12" t="s">
        <v>32</v>
      </c>
      <c r="B13" s="12" t="s">
        <v>33</v>
      </c>
      <c r="C13" s="13" t="s">
        <v>20</v>
      </c>
      <c r="D13" s="13" t="s">
        <v>21</v>
      </c>
      <c r="E13" s="12" t="s">
        <v>34</v>
      </c>
    </row>
    <row r="14" ht="45" hidden="0" customHeight="1">
      <c r="A14" s="12" t="str">
        <v>Core dependency scope</v>
      </c>
      <c r="B14" s="12" t="str">
        <v>Install requirements-workshop.txt for the required course.</v>
      </c>
      <c r="C14" s="13" t="str">
        <v>Recorded</v>
      </c>
      <c r="D14" s="13" t="str">
        <v>2026-10-08</v>
      </c>
      <c r="E14" s="12" t="str">
        <v>Workshop profile includes the notebook base, CrewAI, and pytest. API, LangGraph, and live provider packages remain separate.</v>
      </c>
    </row>
    <row r="15" ht="45" hidden="0" customHeight="1">
      <c r="A15" s="12" t="str">
        <v>Optional API extension</v>
      </c>
      <c r="B15" s="12" t="str">
        <v>FastAPI/HTTPX remain outside the workshop install.</v>
      </c>
      <c r="C15" s="13" t="str">
        <v>Recorded</v>
      </c>
      <c r="D15" s="13" t="str">
        <v>2026-10-08</v>
      </c>
      <c r="E15" s="12" t="str">
        <v>The API boundary and its tests are archived advanced material. No skipped API module is part of the current core suite.</v>
      </c>
    </row>
    <row r="16" ht="45" hidden="0" customHeight="1">
      <c r="A16" s="12" t="s">
        <v>35</v>
      </c>
      <c r="B16" s="12" t="s">
        <v>36</v>
      </c>
      <c r="C16" s="13" t="s">
        <v>20</v>
      </c>
      <c r="D16" s="13" t="s">
        <v>21</v>
      </c>
      <c r="E16" s="12" t="s">
        <v>37</v>
      </c>
    </row>
    <row r="17" ht="45" hidden="0" customHeight="1">
      <c r="A17" s="12" t="s">
        <v>38</v>
      </c>
      <c r="B17" s="12" t="s">
        <v>39</v>
      </c>
      <c r="C17" s="13" t="s">
        <v>20</v>
      </c>
      <c r="D17" s="13" t="s">
        <v>21</v>
      </c>
      <c r="E17" s="12" t="s">
        <v>40</v>
      </c>
    </row>
    <row r="18" ht="45" hidden="0" customHeight="1">
      <c r="A18" s="12" t="s">
        <v>41</v>
      </c>
      <c r="B18" s="12" t="s">
        <v>42</v>
      </c>
      <c r="C18" s="13" t="s">
        <v>20</v>
      </c>
      <c r="D18" s="13" t="s">
        <v>21</v>
      </c>
      <c r="E18" s="12" t="s">
        <v>43</v>
      </c>
    </row>
    <row r="19" ht="45" hidden="0" customHeight="1">
      <c r="A19" s="12" t="s">
        <v>44</v>
      </c>
      <c r="B19" s="12" t="s">
        <v>45</v>
      </c>
      <c r="C19" s="13" t="s">
        <v>46</v>
      </c>
      <c r="D19" s="13"/>
      <c r="E19" s="12" t="s">
        <v>47</v>
      </c>
    </row>
    <row r="20" ht="45" hidden="0" customHeight="1">
      <c r="A20" s="12" t="str">
        <v>Fresh Python 3.12 install</v>
      </c>
      <c r="B20" s="12" t="str">
        <v>Create a clean environment from requirements-workshop.txt and open JupyterLab.</v>
      </c>
      <c r="C20" s="13" t="str">
        <v>Recorded</v>
      </c>
      <c r="D20" s="13" t="str">
        <v>2026-10-08</v>
      </c>
      <c r="E20" s="12" t="str">
        <v>Assessment checklist records pip check, JupyterLab startup, and the 38-test suite in a fresh workshop environment.</v>
      </c>
    </row>
    <row r="21" ht="45" hidden="0" customHeight="1">
      <c r="A21" s="12" t="str">
        <v>Network-disconnection rehearsal</v>
      </c>
      <c r="B21" s="12" t="str">
        <v>No physical Wi-Fi check is required.</v>
      </c>
      <c r="C21" s="13" t="str">
        <v>Not required</v>
      </c>
      <c r="D21" s="13" t="str">
        <v>2026-10-08</v>
      </c>
      <c r="E21" s="12" t="str">
        <v>Omitted at the course owner’s request. Package installation still needs internet or a prepared package bundle.</v>
      </c>
    </row>
    <row r="22" ht="45" hidden="0" customHeight="1">
      <c r="A22" s="12" t="s">
        <v>48</v>
      </c>
      <c r="B22" s="12" t="s">
        <v>49</v>
      </c>
      <c r="C22" s="13" t="s">
        <v>50</v>
      </c>
      <c r="D22" s="13"/>
      <c r="E22" s="12" t="s">
        <v>51</v>
      </c>
    </row>
  </sheetData>
  <mergeCells>
    <mergeCell ref="A2:E2"/>
    <mergeCell ref="A3:E3"/>
  </mergeCells>
  <dataValidations count="1">
    <dataValidation type="list" errorStyle="stop" allowBlank="0" showDropDown="0" showInputMessage="0" showErrorMessage="0" sqref="C5:C22">
      <formula1>"Verified,Recorded,Pending,Not Tested,Optional,Not required"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