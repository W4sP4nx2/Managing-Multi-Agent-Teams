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614571ce2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4751004a5a648a9"/>
    <x:sheet xmlns:r="http://schemas.openxmlformats.org/officeDocument/2006/relationships" name="Detailed Rubric" sheetId="2" r:id="R17ee5965ff134d7a"/>
    <x:sheet xmlns:r="http://schemas.openxmlformats.org/officeDocument/2006/relationships" name="Quick Grade" sheetId="3" r:id="R89a806b8ed25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sz val="11"/>
      <x:color rgb="FF111827"/>
      <x:name val="Arial"/>
    </x:font>
    <x:font>
      <x:b/>
      <x:sz val="11"/>
      <x:color rgb="FFFFFFFF"/>
      <x:name val="Arial"/>
    </x:font>
    <x:font>
      <x:b/>
      <x:sz val="11"/>
      <x:color rgb="FF11182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FFF2CC"/>
      </x:patternFill>
    </x:fill>
    <x:fill>
      <x:patternFill patternType="solid">
        <x:fgColor rgb="FFED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9722e17bf4374" /><Relationship Type="http://schemas.openxmlformats.org/officeDocument/2006/relationships/theme" Target="/xl/theme/theme1.xml" Id="R678fe52ef061482b" /><Relationship Type="http://schemas.openxmlformats.org/officeDocument/2006/relationships/sharedStrings" Target="/xl/sharedStrings.xml" Id="Rf0caef7cb2aa487f" /><Relationship Type="http://schemas.openxmlformats.org/officeDocument/2006/relationships/worksheet" Target="/xl/worksheets/sheet1.xml" Id="Ra4751004a5a648a9" /><Relationship Type="http://schemas.openxmlformats.org/officeDocument/2006/relationships/worksheet" Target="/xl/worksheets/sheet2.xml" Id="R17ee5965ff134d7a" /><Relationship Type="http://schemas.openxmlformats.org/officeDocument/2006/relationships/worksheet" Target="/xl/worksheets/sheet3.xml" Id="R89a806b8ed254c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3" max="3" width="19" hidden="0" customWidth="1"/>
    <x:col min="4" max="4" width="19" hidden="0" customWidth="1"/>
  </x:cols>
  <x:sheetData>
    <x:row r="1" ht="30" customHeight="1">
      <x:c r="A1" s="6" t="str">
        <x:v>Component</x:v>
      </x:c>
      <x:c r="B1" s="6" t="str">
        <x:v>Assessment</x:v>
      </x:c>
      <x:c r="C1" s="6" t="str">
        <x:v>Raw maximum</x:v>
      </x:c>
      <x:c r="D1" s="6" t="str">
        <x:v>Course marks</x:v>
      </x:c>
    </x:row>
    <x:row r="2" ht="27" customHeight="1">
      <x:c r="A2" s="2" t="str">
        <x:v>Lab 1</x:v>
      </x:c>
      <x:c r="B2" s="2" t="str">
        <x:v>Pydantic contracts</x:v>
      </x:c>
      <x:c r="C2" s="7" t="n">
        <x:v>15</x:v>
      </x:c>
      <x:c r="D2" s="7" t="n">
        <x:v>20</x:v>
      </x:c>
    </x:row>
    <x:row r="3" ht="27" customHeight="1">
      <x:c r="A3" s="2" t="str">
        <x:v>Lab 2</x:v>
      </x:c>
      <x:c r="B3" s="2" t="str">
        <x:v>CrewAI team handoff</x:v>
      </x:c>
      <x:c r="C3" s="7" t="n">
        <x:v>15</x:v>
      </x:c>
      <x:c r="D3" s="7" t="n">
        <x:v>20</x:v>
      </x:c>
    </x:row>
    <x:row r="4" ht="27" customHeight="1">
      <x:c r="A4" s="2" t="str">
        <x:v>Lab 3</x:v>
      </x:c>
      <x:c r="B4" s="2" t="str">
        <x:v>Tool gates and bounded repair</x:v>
      </x:c>
      <x:c r="C4" s="7" t="n">
        <x:v>15</x:v>
      </x:c>
      <x:c r="D4" s="7" t="n">
        <x:v>20</x:v>
      </x:c>
    </x:row>
    <x:row r="5" ht="27" customHeight="1">
      <x:c r="A5" s="2" t="str">
        <x:v>Capstone code</x:v>
      </x:c>
      <x:c r="B5" s="2" t="str">
        <x:v>Development-to-Security pipeline</x:v>
      </x:c>
      <x:c r="C5" s="7" t="n">
        <x:v>20</x:v>
      </x:c>
      <x:c r="D5" s="7" t="n">
        <x:v>20</x:v>
      </x:c>
    </x:row>
    <x:row r="6" ht="27" customHeight="1">
      <x:c r="A6" s="2" t="str">
        <x:v>Capstone ADR</x:v>
      </x:c>
      <x:c r="B6" s="2" t="str">
        <x:v>Risk, governance, and next step</x:v>
      </x:c>
      <x:c r="C6" s="7" t="n">
        <x:v>20</x:v>
      </x:c>
      <x:c r="D6" s="7" t="n">
        <x:v>20</x:v>
      </x:c>
    </x:row>
    <x:row r="7" ht="27" customHeight="1">
      <x:c r="A7" s="10" t="str">
        <x:v>Course total</x:v>
      </x:c>
      <x:c r="B7" s="10"/>
      <x:c r="C7" s="11"/>
      <x:c r="D7" s="11" t="n">
        <x:f>SUM(D2:D6)</x:f>
        <x:v>100</x:v>
      </x:c>
    </x:row>
    <x:row r="8">
      <x:c r="A8" s="2"/>
      <x:c r="B8" s="2"/>
      <x:c r="C8" s="2"/>
      <x:c r="D8" s="2"/>
    </x:row>
    <x:row r="9">
      <x:c r="A9" s="2" t="str">
        <x:v>Lab conversion: raw score × course maximum ÷ raw maximum.</x:v>
      </x:c>
      <x:c r="B9" s="2"/>
      <x:c r="C9" s="2"/>
      <x:c r="D9" s="2"/>
    </x:row>
    <x:row r="10">
      <x:c r="A10" s="2" t="str">
        <x:v>Record each learner in assessment_score_tracker.xlsx.</x:v>
      </x:c>
      <x:c r="B10" s="2"/>
      <x:c r="C10" s="2"/>
      <x:c r="D10" s="2"/>
    </x:row>
    <x:row r="11">
      <x:c r="A11" s="2" t="str">
        <x:v>Lecture exercises are formative and add no separate marks.</x:v>
      </x:c>
      <x:c r="B11" s="2"/>
      <x:c r="C11" s="2"/>
      <x:c r="D11" s="2"/>
    </x:row>
    <x:row r="12">
      <x:c r="A12" s="2" t="str">
        <x:v>Sources: notebooks 01–04 and assignments/ex5_capstone_virtual_software_company.md.</x:v>
      </x:c>
      <x:c r="B12" s="2"/>
      <x:c r="C12" s="2"/>
      <x:c r="D1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16" hidden="0" customWidth="1"/>
    <x:col min="4" max="4" width="88" hidden="0" customWidth="1"/>
  </x:cols>
  <x:sheetData>
    <x:row r="1" ht="30" customHeight="1">
      <x:c r="A1" s="15" t="str">
        <x:v>Component</x:v>
      </x:c>
      <x:c r="B1" s="15" t="str">
        <x:v>Criterion or score branch</x:v>
      </x:c>
      <x:c r="C1" s="15" t="str">
        <x:v>Raw points</x:v>
      </x:c>
      <x:c r="D1" s="15" t="str">
        <x:v>Evidence</x:v>
      </x:c>
    </x:row>
    <x:row r="2" ht="36" customHeight="1">
      <x:c r="A2" s="2" t="str">
        <x:v>Lab 1</x:v>
      </x:c>
      <x:c r="B2" s="16" t="str">
        <x:v>Inclusive confidence range</x:v>
      </x:c>
      <x:c r="C2" s="16" t="str">
        <x:v>5 / 15</x:v>
      </x:c>
      <x:c r="D2" s="16" t="str">
        <x:v>Required typed fields and valid input pass; endpoints 0 and 1 pass; negative and 150.5 fail.</x:v>
      </x:c>
    </x:row>
    <x:row r="3" ht="36" customHeight="1">
      <x:c r="A3" s="2" t="str">
        <x:v>Lab 1</x:v>
      </x:c>
      <x:c r="B3" s="16" t="str">
        <x:v>Undeclared fields rejected</x:v>
      </x:c>
      <x:c r="C3" s="16" t="str">
        <x:v>10 / 15</x:v>
      </x:c>
      <x:c r="D3" s="16" t="str">
        <x:v>Required typed fields and valid input pass; the secret_backdoor extra field fails.</x:v>
      </x:c>
    </x:row>
    <x:row r="4" ht="36" customHeight="1">
      <x:c r="A4" s="2" t="str">
        <x:v>Lab 1</x:v>
      </x:c>
      <x:c r="B4" s="16" t="str">
        <x:v>Combined outcomes</x:v>
      </x:c>
      <x:c r="C4" s="16" t="str">
        <x:v>0, 5, 10, 15</x:v>
      </x:c>
      <x:c r="D4" s="16" t="str">
        <x:v>Neither control = 0; range only = 5; extras only = 10; both = 15. Invalid required shape = 0.</x:v>
      </x:c>
    </x:row>
    <x:row r="5" ht="36" customHeight="1">
      <x:c r="A5" s="2" t="str">
        <x:v>Lab 2</x:v>
      </x:c>
      <x:c r="B5" s="16" t="str">
        <x:v>Manager permissions</x:v>
      </x:c>
      <x:c r="C5" s="16" t="str">
        <x:v>5 / 15</x:v>
      </x:c>
      <x:c r="D5" s="16" t="str">
        <x:v>Manager has only approve_code_tool and delegation enabled.</x:v>
      </x:c>
    </x:row>
    <x:row r="6" ht="36" customHeight="1">
      <x:c r="A6" s="2" t="str">
        <x:v>Lab 2</x:v>
      </x:c>
      <x:c r="B6" s="16" t="str">
        <x:v>Architect context</x:v>
      </x:c>
      <x:c r="C6" s="16" t="str">
        <x:v>10 / 15</x:v>
      </x:c>
      <x:c r="D6" s="16" t="str">
        <x:v>Coder task context includes the actual architect_task object.</x:v>
      </x:c>
    </x:row>
    <x:row r="7" ht="36" customHeight="1">
      <x:c r="A7" s="2" t="str">
        <x:v>Lab 2</x:v>
      </x:c>
      <x:c r="B7" s="16" t="str">
        <x:v>Combined outcomes</x:v>
      </x:c>
      <x:c r="C7" s="16" t="str">
        <x:v>0, 5, 10, 15</x:v>
      </x:c>
      <x:c r="D7" s="16" t="str">
        <x:v>Neither control = 0; Manager only = 5; context only = 10; both = 15.</x:v>
      </x:c>
    </x:row>
    <x:row r="8" ht="36" customHeight="1">
      <x:c r="A8" s="2" t="str">
        <x:v>Lab 3</x:v>
      </x:c>
      <x:c r="B8" s="16" t="str">
        <x:v>Hostile input blocked</x:v>
      </x:c>
      <x:c r="C8" s="16" t="str">
        <x:v>4 / 15</x:v>
      </x:c>
      <x:c r="D8" s="16" t="str">
        <x:v>The supplied SQL-like payload is rejected before the dry-run tool.</x:v>
      </x:c>
    </x:row>
    <x:row r="9" ht="36" customHeight="1">
      <x:c r="A9" s="2" t="str">
        <x:v>Lab 3</x:v>
      </x:c>
      <x:c r="B9" s="16" t="str">
        <x:v>Safe input accepted</x:v>
      </x:c>
      <x:c r="C9" s="16" t="str">
        <x:v>3 / 15</x:v>
      </x:c>
      <x:c r="D9" s="16" t="str">
        <x:v>Numeric ID accepted; this credit requires the hostile-input gate to pass.</x:v>
      </x:c>
    </x:row>
    <x:row r="10" ht="36" customHeight="1">
      <x:c r="A10" s="2" t="str">
        <x:v>Lab 3</x:v>
      </x:c>
      <x:c r="B10" s="16" t="str">
        <x:v>Retry configuration</x:v>
      </x:c>
      <x:c r="C10" s="16" t="str">
        <x:v>3 / 15</x:v>
      </x:c>
      <x:c r="D10" s="16" t="str">
        <x:v>MAX_RETRIES is exactly 3.</x:v>
      </x:c>
    </x:row>
    <x:row r="11" ht="36" customHeight="1">
      <x:c r="A11" s="2" t="str">
        <x:v>Lab 3</x:v>
      </x:c>
      <x:c r="B11" s="16" t="str">
        <x:v>Termination and escalation</x:v>
      </x:c>
      <x:c r="C11" s="16" t="str">
        <x:v>3 / 15</x:v>
      </x:c>
      <x:c r="D11" s="16" t="str">
        <x:v>Initial attempt plus three retries ends after four calls with escalation.</x:v>
      </x:c>
    </x:row>
    <x:row r="12" ht="36" customHeight="1">
      <x:c r="A12" s="2" t="str">
        <x:v>Lab 3</x:v>
      </x:c>
      <x:c r="B12" s="16" t="str">
        <x:v>Mock budget bound</x:v>
      </x:c>
      <x:c r="C12" s="16" t="str">
        <x:v>2 / 15</x:v>
      </x:c>
      <x:c r="D12" s="16" t="str">
        <x:v>Simulated cost stops with the bounded loop.</x:v>
      </x:c>
    </x:row>
    <x:row r="13" ht="36" customHeight="1">
      <x:c r="A13" s="2" t="str">
        <x:v>Capstone code</x:v>
      </x:c>
      <x:c r="B13" s="16" t="str">
        <x:v>Separation of duties</x:v>
      </x:c>
      <x:c r="C13" s="16" t="str">
        <x:v>5 / 20</x:v>
      </x:c>
      <x:c r="D13" s="16" t="str">
        <x:v>Security Manager has approval only; Pen Tester has scan access only.</x:v>
      </x:c>
    </x:row>
    <x:row r="14" ht="36" customHeight="1">
      <x:c r="A14" s="2" t="str">
        <x:v>Capstone code</x:v>
      </x:c>
      <x:c r="B14" s="16" t="str">
        <x:v>Contract and Coordinator</x:v>
      </x:c>
      <x:c r="C14" s="16" t="str">
        <x:v>10 / 20</x:v>
      </x:c>
      <x:c r="D14" s="16" t="str">
        <x:v>Failed QA is rejected and validation is logged before Security starts.</x:v>
      </x:c>
    </x:row>
    <x:row r="15" ht="36" customHeight="1">
      <x:c r="A15" s="2" t="str">
        <x:v>Capstone code</x:v>
      </x:c>
      <x:c r="B15" s="16" t="str">
        <x:v>Typed audit result</x:v>
      </x:c>
      <x:c r="C15" s="16" t="str">
        <x:v>5 / 20</x:v>
      </x:c>
      <x:c r="D15" s="16" t="str">
        <x:v>The deterministic pipeline returns SecurityAuditResult.</x:v>
      </x:c>
    </x:row>
    <x:row r="16" ht="36" customHeight="1">
      <x:c r="A16" s="2" t="str">
        <x:v>Capstone ADR</x:v>
      </x:c>
      <x:c r="B16" s="16" t="str">
        <x:v>Risk and architecture</x:v>
      </x:c>
      <x:c r="C16" s="16" t="str">
        <x:v>6 / 20</x:v>
      </x:c>
      <x:c r="D16" s="16" t="str">
        <x:v>Identifies a concrete handoff risk and explains the two-team boundary.</x:v>
      </x:c>
    </x:row>
    <x:row r="17" ht="36" customHeight="1">
      <x:c r="A17" s="2" t="str">
        <x:v>Capstone ADR</x:v>
      </x:c>
      <x:c r="B17" s="16" t="str">
        <x:v>Governance and evidence</x:v>
      </x:c>
      <x:c r="C17" s="16" t="str">
        <x:v>7 / 20</x:v>
      </x:c>
      <x:c r="D17" s="16" t="str">
        <x:v>Connects contract, Coordinator gate, tool limits, and evidence.</x:v>
      </x:c>
    </x:row>
    <x:row r="18" ht="36" customHeight="1">
      <x:c r="A18" s="2" t="str">
        <x:v>Capstone ADR</x:v>
      </x:c>
      <x:c r="B18" s="16" t="str">
        <x:v>Next-step judgment</x:v>
      </x:c>
      <x:c r="C18" s="16" t="str">
        <x:v>7 / 20</x:v>
      </x:c>
      <x:c r="D18" s="16" t="str">
        <x:v>Names a credible production improvement and explains its value.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4" hidden="0" customWidth="1"/>
    <x:col min="7" max="7" width="45" hidden="0" customWidth="1"/>
  </x:cols>
  <x:sheetData>
    <x:row r="1" ht="30" customHeight="1">
      <x:c r="A1" s="20" t="str">
        <x:v>Component</x:v>
      </x:c>
      <x:c r="B1" s="20" t="str">
        <x:v>Raw score</x:v>
      </x:c>
      <x:c r="C1" s="20" t="str">
        <x:v>Raw maximum</x:v>
      </x:c>
      <x:c r="D1" s="20" t="str">
        <x:v>Course maximum</x:v>
      </x:c>
      <x:c r="E1" s="20" t="str">
        <x:v>Course marks</x:v>
      </x:c>
      <x:c r="F1" s="20" t="str">
        <x:v>Assessor</x:v>
      </x:c>
      <x:c r="G1" s="20" t="str">
        <x:v>Comments</x:v>
      </x:c>
    </x:row>
    <x:row r="2" ht="27" customHeight="1">
      <x:c r="A2" s="2" t="str">
        <x:v>Lab 1</x:v>
      </x:c>
      <x:c r="B2" s="23"/>
      <x:c r="C2" s="7" t="n">
        <x:v>15</x:v>
      </x:c>
      <x:c r="D2" s="7" t="n">
        <x:v>20</x:v>
      </x:c>
      <x:c r="E2" s="24" t="str">
        <x:f>IF(ISNUMBER(B2),B2*D2/C2,"")</x:f>
      </x:c>
      <x:c r="F2" s="21"/>
      <x:c r="G2" s="21"/>
    </x:row>
    <x:row r="3" ht="27" customHeight="1">
      <x:c r="A3" s="2" t="str">
        <x:v>Lab 2</x:v>
      </x:c>
      <x:c r="B3" s="23"/>
      <x:c r="C3" s="7" t="n">
        <x:v>15</x:v>
      </x:c>
      <x:c r="D3" s="7" t="n">
        <x:v>20</x:v>
      </x:c>
      <x:c r="E3" s="24" t="str">
        <x:f>IF(ISNUMBER(B3),B3*D3/C3,"")</x:f>
      </x:c>
      <x:c r="F3" s="21"/>
      <x:c r="G3" s="21"/>
    </x:row>
    <x:row r="4" ht="27" customHeight="1">
      <x:c r="A4" s="2" t="str">
        <x:v>Lab 3</x:v>
      </x:c>
      <x:c r="B4" s="23"/>
      <x:c r="C4" s="7" t="n">
        <x:v>15</x:v>
      </x:c>
      <x:c r="D4" s="7" t="n">
        <x:v>20</x:v>
      </x:c>
      <x:c r="E4" s="24" t="str">
        <x:f>IF(ISNUMBER(B4),B4*D4/C4,"")</x:f>
      </x:c>
      <x:c r="F4" s="21"/>
      <x:c r="G4" s="21"/>
    </x:row>
    <x:row r="5" ht="27" customHeight="1">
      <x:c r="A5" s="2" t="str">
        <x:v>Capstone code</x:v>
      </x:c>
      <x:c r="B5" s="23"/>
      <x:c r="C5" s="7" t="n">
        <x:v>20</x:v>
      </x:c>
      <x:c r="D5" s="7" t="n">
        <x:v>20</x:v>
      </x:c>
      <x:c r="E5" s="24" t="str">
        <x:f>IF(ISNUMBER(B5),B5*D5/C5,"")</x:f>
      </x:c>
      <x:c r="F5" s="21"/>
      <x:c r="G5" s="21"/>
    </x:row>
    <x:row r="6" ht="27" customHeight="1">
      <x:c r="A6" s="2" t="str">
        <x:v>Capstone ADR</x:v>
      </x:c>
      <x:c r="B6" s="23"/>
      <x:c r="C6" s="7" t="n">
        <x:v>20</x:v>
      </x:c>
      <x:c r="D6" s="7" t="n">
        <x:v>20</x:v>
      </x:c>
      <x:c r="E6" s="24" t="str">
        <x:f>IF(ISNUMBER(B6),B6*D6/C6,"")</x:f>
      </x:c>
      <x:c r="F6" s="21"/>
      <x:c r="G6" s="21"/>
    </x:row>
    <x:row r="7" ht="27" customHeight="1">
      <x:c r="A7" s="10" t="str">
        <x:v>Total /100</x:v>
      </x:c>
      <x:c r="B7" s="10"/>
      <x:c r="C7" s="10"/>
      <x:c r="D7" s="10"/>
      <x:c r="E7" s="27" t="str">
        <x:f>IF(COUNT(B2:B6)&lt;5,"",SUM(E2:E6))</x:f>
      </x:c>
      <x:c r="F7" s="10"/>
      <x:c r="G7" s="10"/>
    </x:row>
    <x:row r="8">
      <x:c r="A8" s="2"/>
      <x:c r="B8" s="2"/>
      <x:c r="C8" s="2"/>
      <x:c r="D8" s="2"/>
      <x:c r="E8" s="2"/>
      <x:c r="F8" s="2"/>
      <x:c r="G8" s="2"/>
    </x:row>
    <x:row r="9">
      <x:c r="A9" s="2" t="str">
        <x:v>Enter the notebook raw scores. Yellow cells are editable.</x:v>
      </x:c>
      <x:c r="B9" s="2"/>
      <x:c r="C9" s="2"/>
      <x:c r="D9" s="2"/>
      <x:c r="E9" s="2"/>
      <x:c r="F9" s="2"/>
      <x:c r="G9" s="2"/>
    </x:row>
    <x:row r="10">
      <x:c r="A10" s="2" t="str">
        <x:v>ADR is assessed using the 6/7/7 rubric. Paper fallback uses the same rubric.</x:v>
      </x:c>
      <x:c r="B10" s="2"/>
      <x:c r="C10" s="2"/>
      <x:c r="D10" s="2"/>
      <x:c r="E10" s="2"/>
      <x:c r="F10" s="2"/>
      <x:c r="G10" s="2"/>
    </x:row>
  </x:sheetData>
  <x:dataValidations count="5">
    <x:dataValidation type="whole" operator="between" sqref="B2">
      <x:formula1>0</x:formula1>
      <x:formula2>15</x:formula2>
    </x:dataValidation>
    <x:dataValidation type="whole" operator="between" sqref="B3">
      <x:formula1>0</x:formula1>
      <x:formula2>15</x:formula2>
    </x:dataValidation>
    <x:dataValidation type="whole" operator="between" sqref="B4">
      <x:formula1>0</x:formula1>
      <x:formula2>15</x:formula2>
    </x:dataValidation>
    <x:dataValidation type="whole" operator="between" sqref="B5">
      <x:formula1>0</x:formula1>
      <x:formula2>20</x:formula2>
    </x:dataValidation>
    <x:dataValidation type="whole" operator="between" sqref="B6">
      <x:formula1>0</x:formula1>
      <x:formula2>20</x:formula2>
    </x:dataValidation>
  </x:dataValidations>
  <x:pageMargins left="0.7" right="0.7" top="0.75" bottom="0.75" header="0.3" footer="0.3"/>
</x:worksheet>
</file>